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6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8" customWidth="1" min="14" max="14"/>
    <col width="16" customWidth="1" min="15" max="15"/>
    <col width="15" customWidth="1" min="16" max="16"/>
    <col width="18" customWidth="1" min="17" max="17"/>
    <col width="12" customWidth="1" min="18" max="18"/>
    <col width="15" customWidth="1" min="19" max="19"/>
    <col width="10" customWidth="1" min="20" max="20"/>
  </cols>
  <sheetData>
    <row r="1" ht="30" customHeight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Grade_Level</t>
        </is>
      </c>
      <c r="F1" s="1" t="inlineStr">
        <is>
          <t>Department</t>
        </is>
      </c>
      <c r="G1" s="1" t="inlineStr">
        <is>
          <t>City</t>
        </is>
      </c>
      <c r="H1" s="1" t="inlineStr">
        <is>
          <t>Attendance_%</t>
        </is>
      </c>
      <c r="I1" s="1" t="inlineStr">
        <is>
          <t>Math_Score</t>
        </is>
      </c>
      <c r="J1" s="1" t="inlineStr">
        <is>
          <t>Science_Score</t>
        </is>
      </c>
      <c r="K1" s="1" t="inlineStr">
        <is>
          <t>English_Score</t>
        </is>
      </c>
      <c r="L1" s="1" t="inlineStr">
        <is>
          <t>History_Score</t>
        </is>
      </c>
      <c r="M1" s="1" t="inlineStr">
        <is>
          <t>Avg_Score</t>
        </is>
      </c>
      <c r="N1" s="1" t="inlineStr">
        <is>
          <t>Grade</t>
        </is>
      </c>
      <c r="O1" s="1" t="inlineStr">
        <is>
          <t>Study_Hours/Week</t>
        </is>
      </c>
      <c r="P1" s="1" t="inlineStr">
        <is>
          <t>Internet_Access</t>
        </is>
      </c>
      <c r="Q1" s="1" t="inlineStr">
        <is>
          <t>Parent_Education</t>
        </is>
      </c>
      <c r="R1" s="1" t="inlineStr">
        <is>
          <t>Scholarship</t>
        </is>
      </c>
      <c r="S1" s="1" t="inlineStr">
        <is>
          <t>Extracurricular</t>
        </is>
      </c>
      <c r="T1" s="1" t="inlineStr">
        <is>
          <t>Pass/Fail</t>
        </is>
      </c>
    </row>
    <row r="2">
      <c r="A2" s="2" t="inlineStr">
        <is>
          <t>S001</t>
        </is>
      </c>
      <c r="B2" s="2" t="inlineStr">
        <is>
          <t>Aarav Kumar</t>
        </is>
      </c>
      <c r="C2" s="2" t="inlineStr">
        <is>
          <t>Male</t>
        </is>
      </c>
      <c r="D2" s="2" t="n">
        <v>16</v>
      </c>
      <c r="E2" s="2" t="inlineStr">
        <is>
          <t>10th</t>
        </is>
      </c>
      <c r="F2" s="2" t="inlineStr">
        <is>
          <t>Science</t>
        </is>
      </c>
      <c r="G2" s="2" t="inlineStr">
        <is>
          <t>Chennai</t>
        </is>
      </c>
      <c r="H2" s="2" t="n">
        <v>92</v>
      </c>
      <c r="I2" s="2" t="n">
        <v>88</v>
      </c>
      <c r="J2" s="2" t="n">
        <v>85</v>
      </c>
      <c r="K2" s="2" t="n">
        <v>90</v>
      </c>
      <c r="L2" s="2" t="n">
        <v>78</v>
      </c>
      <c r="M2" s="3">
        <f>AVERAGE(I2:L2)</f>
        <v/>
      </c>
      <c r="N2" s="2">
        <f>IF(M2&gt;=90,"A+",IF(M2&gt;=80,"A",IF(M2&gt;=70,"B",IF(M2&gt;=60,"C","D"))))</f>
        <v/>
      </c>
      <c r="O2" s="2" t="n">
        <v>18</v>
      </c>
      <c r="P2" s="2" t="inlineStr">
        <is>
          <t>Yes</t>
        </is>
      </c>
      <c r="Q2" s="2" t="inlineStr">
        <is>
          <t>Graduate</t>
        </is>
      </c>
      <c r="R2" s="2" t="inlineStr">
        <is>
          <t>Yes</t>
        </is>
      </c>
      <c r="S2" s="2" t="inlineStr">
        <is>
          <t>Yes</t>
        </is>
      </c>
      <c r="T2" s="2">
        <f>IF(M2&gt;=50,"Pass","Fail")</f>
        <v/>
      </c>
    </row>
    <row r="3">
      <c r="A3" s="4" t="inlineStr">
        <is>
          <t>S002</t>
        </is>
      </c>
      <c r="B3" s="4" t="inlineStr">
        <is>
          <t>Priya Sharma</t>
        </is>
      </c>
      <c r="C3" s="4" t="inlineStr">
        <is>
          <t>Female</t>
        </is>
      </c>
      <c r="D3" s="4" t="n">
        <v>17</v>
      </c>
      <c r="E3" s="4" t="inlineStr">
        <is>
          <t>11th</t>
        </is>
      </c>
      <c r="F3" s="4" t="inlineStr">
        <is>
          <t>Commerce</t>
        </is>
      </c>
      <c r="G3" s="4" t="inlineStr">
        <is>
          <t>Mumbai</t>
        </is>
      </c>
      <c r="H3" s="4" t="n">
        <v>87</v>
      </c>
      <c r="I3" s="4" t="n">
        <v>72</v>
      </c>
      <c r="J3" s="4" t="n">
        <v>80</v>
      </c>
      <c r="K3" s="4" t="n">
        <v>68</v>
      </c>
      <c r="L3" s="4" t="n">
        <v>85</v>
      </c>
      <c r="M3" s="5">
        <f>AVERAGE(I3:L3)</f>
        <v/>
      </c>
      <c r="N3" s="4">
        <f>IF(M3&gt;=90,"A+",IF(M3&gt;=80,"A",IF(M3&gt;=70,"B",IF(M3&gt;=60,"C","D"))))</f>
        <v/>
      </c>
      <c r="O3" s="4" t="n">
        <v>14</v>
      </c>
      <c r="P3" s="4" t="inlineStr">
        <is>
          <t>Yes</t>
        </is>
      </c>
      <c r="Q3" s="4" t="inlineStr">
        <is>
          <t>Post-Graduate</t>
        </is>
      </c>
      <c r="R3" s="4" t="inlineStr">
        <is>
          <t>No</t>
        </is>
      </c>
      <c r="S3" s="4" t="inlineStr">
        <is>
          <t>No</t>
        </is>
      </c>
      <c r="T3" s="4">
        <f>IF(M3&gt;=50,"Pass","Fail")</f>
        <v/>
      </c>
    </row>
    <row r="4">
      <c r="A4" s="2" t="inlineStr">
        <is>
          <t>S003</t>
        </is>
      </c>
      <c r="B4" s="2" t="inlineStr">
        <is>
          <t>Rohit Mehta</t>
        </is>
      </c>
      <c r="C4" s="2" t="inlineStr">
        <is>
          <t>Male</t>
        </is>
      </c>
      <c r="D4" s="2" t="n">
        <v>15</v>
      </c>
      <c r="E4" s="2" t="inlineStr">
        <is>
          <t>9th</t>
        </is>
      </c>
      <c r="F4" s="2" t="inlineStr">
        <is>
          <t>Science</t>
        </is>
      </c>
      <c r="G4" s="2" t="inlineStr">
        <is>
          <t>Delhi</t>
        </is>
      </c>
      <c r="H4" s="2" t="n">
        <v>75</v>
      </c>
      <c r="I4" s="2" t="n">
        <v>65</v>
      </c>
      <c r="J4" s="2" t="n">
        <v>70</v>
      </c>
      <c r="K4" s="2" t="n">
        <v>60</v>
      </c>
      <c r="L4" s="2" t="n">
        <v>72</v>
      </c>
      <c r="M4" s="3">
        <f>AVERAGE(I4:L4)</f>
        <v/>
      </c>
      <c r="N4" s="2">
        <f>IF(M4&gt;=90,"A+",IF(M4&gt;=80,"A",IF(M4&gt;=70,"B",IF(M4&gt;=60,"C","D"))))</f>
        <v/>
      </c>
      <c r="O4" s="2" t="n">
        <v>10</v>
      </c>
      <c r="P4" s="2" t="inlineStr">
        <is>
          <t>No</t>
        </is>
      </c>
      <c r="Q4" s="2" t="inlineStr">
        <is>
          <t>High School</t>
        </is>
      </c>
      <c r="R4" s="2" t="inlineStr">
        <is>
          <t>No</t>
        </is>
      </c>
      <c r="S4" s="2" t="inlineStr">
        <is>
          <t>Yes</t>
        </is>
      </c>
      <c r="T4" s="2">
        <f>IF(M4&gt;=50,"Pass","Fail")</f>
        <v/>
      </c>
    </row>
    <row r="5">
      <c r="A5" s="4" t="inlineStr">
        <is>
          <t>S004</t>
        </is>
      </c>
      <c r="B5" s="4" t="inlineStr">
        <is>
          <t>Sneha Patel</t>
        </is>
      </c>
      <c r="C5" s="4" t="inlineStr">
        <is>
          <t>Female</t>
        </is>
      </c>
      <c r="D5" s="4" t="n">
        <v>16</v>
      </c>
      <c r="E5" s="4" t="inlineStr">
        <is>
          <t>10th</t>
        </is>
      </c>
      <c r="F5" s="4" t="inlineStr">
        <is>
          <t>Arts</t>
        </is>
      </c>
      <c r="G5" s="4" t="inlineStr">
        <is>
          <t>Ahmedabad</t>
        </is>
      </c>
      <c r="H5" s="4" t="n">
        <v>95</v>
      </c>
      <c r="I5" s="4" t="n">
        <v>55</v>
      </c>
      <c r="J5" s="4" t="n">
        <v>60</v>
      </c>
      <c r="K5" s="4" t="n">
        <v>85</v>
      </c>
      <c r="L5" s="4" t="n">
        <v>90</v>
      </c>
      <c r="M5" s="5">
        <f>AVERAGE(I5:L5)</f>
        <v/>
      </c>
      <c r="N5" s="4">
        <f>IF(M5&gt;=90,"A+",IF(M5&gt;=80,"A",IF(M5&gt;=70,"B",IF(M5&gt;=60,"C","D"))))</f>
        <v/>
      </c>
      <c r="O5" s="4" t="n">
        <v>12</v>
      </c>
      <c r="P5" s="4" t="inlineStr">
        <is>
          <t>Yes</t>
        </is>
      </c>
      <c r="Q5" s="4" t="inlineStr">
        <is>
          <t>Graduate</t>
        </is>
      </c>
      <c r="R5" s="4" t="inlineStr">
        <is>
          <t>Yes</t>
        </is>
      </c>
      <c r="S5" s="4" t="inlineStr">
        <is>
          <t>Yes</t>
        </is>
      </c>
      <c r="T5" s="4">
        <f>IF(M5&gt;=50,"Pass","Fail")</f>
        <v/>
      </c>
    </row>
    <row r="6">
      <c r="A6" s="2" t="inlineStr">
        <is>
          <t>S005</t>
        </is>
      </c>
      <c r="B6" s="2" t="inlineStr">
        <is>
          <t>Vikram Singh</t>
        </is>
      </c>
      <c r="C6" s="2" t="inlineStr">
        <is>
          <t>Male</t>
        </is>
      </c>
      <c r="D6" s="2" t="n">
        <v>17</v>
      </c>
      <c r="E6" s="2" t="inlineStr">
        <is>
          <t>11th</t>
        </is>
      </c>
      <c r="F6" s="2" t="inlineStr">
        <is>
          <t>Science</t>
        </is>
      </c>
      <c r="G6" s="2" t="inlineStr">
        <is>
          <t>Jaipur</t>
        </is>
      </c>
      <c r="H6" s="2" t="n">
        <v>80</v>
      </c>
      <c r="I6" s="2" t="n">
        <v>90</v>
      </c>
      <c r="J6" s="2" t="n">
        <v>88</v>
      </c>
      <c r="K6" s="2" t="n">
        <v>85</v>
      </c>
      <c r="L6" s="2" t="n">
        <v>70</v>
      </c>
      <c r="M6" s="3">
        <f>AVERAGE(I6:L6)</f>
        <v/>
      </c>
      <c r="N6" s="2">
        <f>IF(M6&gt;=90,"A+",IF(M6&gt;=80,"A",IF(M6&gt;=70,"B",IF(M6&gt;=60,"C","D"))))</f>
        <v/>
      </c>
      <c r="O6" s="2" t="n">
        <v>20</v>
      </c>
      <c r="P6" s="2" t="inlineStr">
        <is>
          <t>Yes</t>
        </is>
      </c>
      <c r="Q6" s="2" t="inlineStr">
        <is>
          <t>Post-Graduate</t>
        </is>
      </c>
      <c r="R6" s="2" t="inlineStr">
        <is>
          <t>Yes</t>
        </is>
      </c>
      <c r="S6" s="2" t="inlineStr">
        <is>
          <t>No</t>
        </is>
      </c>
      <c r="T6" s="2">
        <f>IF(M6&gt;=50,"Pass","Fail")</f>
        <v/>
      </c>
    </row>
    <row r="7">
      <c r="A7" s="4" t="inlineStr">
        <is>
          <t>S006</t>
        </is>
      </c>
      <c r="B7" s="4" t="inlineStr">
        <is>
          <t>Ananya Iyer</t>
        </is>
      </c>
      <c r="C7" s="4" t="inlineStr">
        <is>
          <t>Female</t>
        </is>
      </c>
      <c r="D7" s="4" t="n">
        <v>18</v>
      </c>
      <c r="E7" s="4" t="inlineStr">
        <is>
          <t>12th</t>
        </is>
      </c>
      <c r="F7" s="4" t="inlineStr">
        <is>
          <t>Science</t>
        </is>
      </c>
      <c r="G7" s="4" t="inlineStr">
        <is>
          <t>Bangalore</t>
        </is>
      </c>
      <c r="H7" s="4" t="n">
        <v>98</v>
      </c>
      <c r="I7" s="4" t="n">
        <v>95</v>
      </c>
      <c r="J7" s="4" t="n">
        <v>92</v>
      </c>
      <c r="K7" s="4" t="n">
        <v>88</v>
      </c>
      <c r="L7" s="4" t="n">
        <v>96</v>
      </c>
      <c r="M7" s="5">
        <f>AVERAGE(I7:L7)</f>
        <v/>
      </c>
      <c r="N7" s="4">
        <f>IF(M7&gt;=90,"A+",IF(M7&gt;=80,"A",IF(M7&gt;=70,"B",IF(M7&gt;=60,"C","D"))))</f>
        <v/>
      </c>
      <c r="O7" s="4" t="n">
        <v>22</v>
      </c>
      <c r="P7" s="4" t="inlineStr">
        <is>
          <t>Yes</t>
        </is>
      </c>
      <c r="Q7" s="4" t="inlineStr">
        <is>
          <t>Post-Graduate</t>
        </is>
      </c>
      <c r="R7" s="4" t="inlineStr">
        <is>
          <t>Yes</t>
        </is>
      </c>
      <c r="S7" s="4" t="inlineStr">
        <is>
          <t>Yes</t>
        </is>
      </c>
      <c r="T7" s="4">
        <f>IF(M7&gt;=50,"Pass","Fail")</f>
        <v/>
      </c>
    </row>
    <row r="8">
      <c r="A8" s="2" t="inlineStr">
        <is>
          <t>S007</t>
        </is>
      </c>
      <c r="B8" s="2" t="inlineStr">
        <is>
          <t>Karan Nair</t>
        </is>
      </c>
      <c r="C8" s="2" t="inlineStr">
        <is>
          <t>Male</t>
        </is>
      </c>
      <c r="D8" s="2" t="n">
        <v>15</v>
      </c>
      <c r="E8" s="2" t="inlineStr">
        <is>
          <t>9th</t>
        </is>
      </c>
      <c r="F8" s="2" t="inlineStr">
        <is>
          <t>Arts</t>
        </is>
      </c>
      <c r="G8" s="2" t="inlineStr">
        <is>
          <t>Kochi</t>
        </is>
      </c>
      <c r="H8" s="2" t="n">
        <v>60</v>
      </c>
      <c r="I8" s="2" t="n">
        <v>50</v>
      </c>
      <c r="J8" s="2" t="n">
        <v>55</v>
      </c>
      <c r="K8" s="2" t="n">
        <v>70</v>
      </c>
      <c r="L8" s="2" t="n">
        <v>65</v>
      </c>
      <c r="M8" s="3">
        <f>AVERAGE(I8:L8)</f>
        <v/>
      </c>
      <c r="N8" s="2">
        <f>IF(M8&gt;=90,"A+",IF(M8&gt;=80,"A",IF(M8&gt;=70,"B",IF(M8&gt;=60,"C","D"))))</f>
        <v/>
      </c>
      <c r="O8" s="2" t="n">
        <v>8</v>
      </c>
      <c r="P8" s="2" t="inlineStr">
        <is>
          <t>No</t>
        </is>
      </c>
      <c r="Q8" s="2" t="inlineStr">
        <is>
          <t>High School</t>
        </is>
      </c>
      <c r="R8" s="2" t="inlineStr">
        <is>
          <t>No</t>
        </is>
      </c>
      <c r="S8" s="2" t="inlineStr">
        <is>
          <t>No</t>
        </is>
      </c>
      <c r="T8" s="2">
        <f>IF(M8&gt;=50,"Pass","Fail")</f>
        <v/>
      </c>
    </row>
    <row r="9">
      <c r="A9" s="4" t="inlineStr">
        <is>
          <t>S008</t>
        </is>
      </c>
      <c r="B9" s="4" t="inlineStr">
        <is>
          <t>Divya Reddy</t>
        </is>
      </c>
      <c r="C9" s="4" t="inlineStr">
        <is>
          <t>Female</t>
        </is>
      </c>
      <c r="D9" s="4" t="n">
        <v>16</v>
      </c>
      <c r="E9" s="4" t="inlineStr">
        <is>
          <t>10th</t>
        </is>
      </c>
      <c r="F9" s="4" t="inlineStr">
        <is>
          <t>Commerce</t>
        </is>
      </c>
      <c r="G9" s="4" t="inlineStr">
        <is>
          <t>Hyderabad</t>
        </is>
      </c>
      <c r="H9" s="4" t="n">
        <v>88</v>
      </c>
      <c r="I9" s="4" t="n">
        <v>68</v>
      </c>
      <c r="J9" s="4" t="n">
        <v>75</v>
      </c>
      <c r="K9" s="4" t="n">
        <v>72</v>
      </c>
      <c r="L9" s="4" t="n">
        <v>80</v>
      </c>
      <c r="M9" s="5">
        <f>AVERAGE(I9:L9)</f>
        <v/>
      </c>
      <c r="N9" s="4">
        <f>IF(M9&gt;=90,"A+",IF(M9&gt;=80,"A",IF(M9&gt;=70,"B",IF(M9&gt;=60,"C","D"))))</f>
        <v/>
      </c>
      <c r="O9" s="4" t="n">
        <v>13</v>
      </c>
      <c r="P9" s="4" t="inlineStr">
        <is>
          <t>Yes</t>
        </is>
      </c>
      <c r="Q9" s="4" t="inlineStr">
        <is>
          <t>Graduate</t>
        </is>
      </c>
      <c r="R9" s="4" t="inlineStr">
        <is>
          <t>No</t>
        </is>
      </c>
      <c r="S9" s="4" t="inlineStr">
        <is>
          <t>Yes</t>
        </is>
      </c>
      <c r="T9" s="4">
        <f>IF(M9&gt;=50,"Pass","Fail")</f>
        <v/>
      </c>
    </row>
    <row r="10">
      <c r="A10" s="2" t="inlineStr">
        <is>
          <t>S009</t>
        </is>
      </c>
      <c r="B10" s="2" t="inlineStr">
        <is>
          <t>Arjun Joshi</t>
        </is>
      </c>
      <c r="C10" s="2" t="inlineStr">
        <is>
          <t>Male</t>
        </is>
      </c>
      <c r="D10" s="2" t="n">
        <v>17</v>
      </c>
      <c r="E10" s="2" t="inlineStr">
        <is>
          <t>11th</t>
        </is>
      </c>
      <c r="F10" s="2" t="inlineStr">
        <is>
          <t>Science</t>
        </is>
      </c>
      <c r="G10" s="2" t="inlineStr">
        <is>
          <t>Pune</t>
        </is>
      </c>
      <c r="H10" s="2" t="n">
        <v>70</v>
      </c>
      <c r="I10" s="2" t="n">
        <v>78</v>
      </c>
      <c r="J10" s="2" t="n">
        <v>74</v>
      </c>
      <c r="K10" s="2" t="n">
        <v>70</v>
      </c>
      <c r="L10" s="2" t="n">
        <v>65</v>
      </c>
      <c r="M10" s="3">
        <f>AVERAGE(I10:L10)</f>
        <v/>
      </c>
      <c r="N10" s="2">
        <f>IF(M10&gt;=90,"A+",IF(M10&gt;=80,"A",IF(M10&gt;=70,"B",IF(M10&gt;=60,"C","D"))))</f>
        <v/>
      </c>
      <c r="O10" s="2" t="n">
        <v>15</v>
      </c>
      <c r="P10" s="2" t="inlineStr">
        <is>
          <t>Yes</t>
        </is>
      </c>
      <c r="Q10" s="2" t="inlineStr">
        <is>
          <t>Graduate</t>
        </is>
      </c>
      <c r="R10" s="2" t="inlineStr">
        <is>
          <t>No</t>
        </is>
      </c>
      <c r="S10" s="2" t="inlineStr">
        <is>
          <t>No</t>
        </is>
      </c>
      <c r="T10" s="2">
        <f>IF(M10&gt;=50,"Pass","Fail")</f>
        <v/>
      </c>
    </row>
    <row r="11">
      <c r="A11" s="4" t="inlineStr">
        <is>
          <t>S010</t>
        </is>
      </c>
      <c r="B11" s="4" t="inlineStr">
        <is>
          <t>Meera Pillai</t>
        </is>
      </c>
      <c r="C11" s="4" t="inlineStr">
        <is>
          <t>Female</t>
        </is>
      </c>
      <c r="D11" s="4" t="n">
        <v>18</v>
      </c>
      <c r="E11" s="4" t="inlineStr">
        <is>
          <t>12th</t>
        </is>
      </c>
      <c r="F11" s="4" t="inlineStr">
        <is>
          <t>Commerce</t>
        </is>
      </c>
      <c r="G11" s="4" t="inlineStr">
        <is>
          <t>Trivandrum</t>
        </is>
      </c>
      <c r="H11" s="4" t="n">
        <v>93</v>
      </c>
      <c r="I11" s="4" t="n">
        <v>60</v>
      </c>
      <c r="J11" s="4" t="n">
        <v>85</v>
      </c>
      <c r="K11" s="4" t="n">
        <v>78</v>
      </c>
      <c r="L11" s="4" t="n">
        <v>88</v>
      </c>
      <c r="M11" s="5">
        <f>AVERAGE(I11:L11)</f>
        <v/>
      </c>
      <c r="N11" s="4">
        <f>IF(M11&gt;=90,"A+",IF(M11&gt;=80,"A",IF(M11&gt;=70,"B",IF(M11&gt;=60,"C","D"))))</f>
        <v/>
      </c>
      <c r="O11" s="4" t="n">
        <v>16</v>
      </c>
      <c r="P11" s="4" t="inlineStr">
        <is>
          <t>Yes</t>
        </is>
      </c>
      <c r="Q11" s="4" t="inlineStr">
        <is>
          <t>Post-Graduate</t>
        </is>
      </c>
      <c r="R11" s="4" t="inlineStr">
        <is>
          <t>Yes</t>
        </is>
      </c>
      <c r="S11" s="4" t="inlineStr">
        <is>
          <t>Yes</t>
        </is>
      </c>
      <c r="T11" s="4">
        <f>IF(M11&gt;=50,"Pass","Fail")</f>
        <v/>
      </c>
    </row>
    <row r="12">
      <c r="A12" s="2" t="inlineStr">
        <is>
          <t>S011</t>
        </is>
      </c>
      <c r="B12" s="2" t="inlineStr">
        <is>
          <t>Siddharth Roy</t>
        </is>
      </c>
      <c r="C12" s="2" t="inlineStr">
        <is>
          <t>Male</t>
        </is>
      </c>
      <c r="D12" s="2" t="n">
        <v>16</v>
      </c>
      <c r="E12" s="2" t="inlineStr">
        <is>
          <t>10th</t>
        </is>
      </c>
      <c r="F12" s="2" t="inlineStr">
        <is>
          <t>Science</t>
        </is>
      </c>
      <c r="G12" s="2" t="inlineStr">
        <is>
          <t>Kolkata</t>
        </is>
      </c>
      <c r="H12" s="2" t="n">
        <v>82</v>
      </c>
      <c r="I12" s="2" t="n">
        <v>80</v>
      </c>
      <c r="J12" s="2" t="n">
        <v>76</v>
      </c>
      <c r="K12" s="2" t="n">
        <v>74</v>
      </c>
      <c r="L12" s="2" t="n">
        <v>79</v>
      </c>
      <c r="M12" s="3">
        <f>AVERAGE(I12:L12)</f>
        <v/>
      </c>
      <c r="N12" s="2">
        <f>IF(M12&gt;=90,"A+",IF(M12&gt;=80,"A",IF(M12&gt;=70,"B",IF(M12&gt;=60,"C","D"))))</f>
        <v/>
      </c>
      <c r="O12" s="2" t="n">
        <v>17</v>
      </c>
      <c r="P12" s="2" t="inlineStr">
        <is>
          <t>Yes</t>
        </is>
      </c>
      <c r="Q12" s="2" t="inlineStr">
        <is>
          <t>Graduate</t>
        </is>
      </c>
      <c r="R12" s="2" t="inlineStr">
        <is>
          <t>No</t>
        </is>
      </c>
      <c r="S12" s="2" t="inlineStr">
        <is>
          <t>Yes</t>
        </is>
      </c>
      <c r="T12" s="2">
        <f>IF(M12&gt;=50,"Pass","Fail")</f>
        <v/>
      </c>
    </row>
    <row r="13">
      <c r="A13" s="4" t="inlineStr">
        <is>
          <t>S012</t>
        </is>
      </c>
      <c r="B13" s="4" t="inlineStr">
        <is>
          <t>Lakshmi Rao</t>
        </is>
      </c>
      <c r="C13" s="4" t="inlineStr">
        <is>
          <t>Female</t>
        </is>
      </c>
      <c r="D13" s="4" t="n">
        <v>15</v>
      </c>
      <c r="E13" s="4" t="inlineStr">
        <is>
          <t>9th</t>
        </is>
      </c>
      <c r="F13" s="4" t="inlineStr">
        <is>
          <t>Arts</t>
        </is>
      </c>
      <c r="G13" s="4" t="inlineStr">
        <is>
          <t>Chennai</t>
        </is>
      </c>
      <c r="H13" s="4" t="n">
        <v>78</v>
      </c>
      <c r="I13" s="4" t="n">
        <v>55</v>
      </c>
      <c r="J13" s="4" t="n">
        <v>60</v>
      </c>
      <c r="K13" s="4" t="n">
        <v>80</v>
      </c>
      <c r="L13" s="4" t="n">
        <v>75</v>
      </c>
      <c r="M13" s="5">
        <f>AVERAGE(I13:L13)</f>
        <v/>
      </c>
      <c r="N13" s="4">
        <f>IF(M13&gt;=90,"A+",IF(M13&gt;=80,"A",IF(M13&gt;=70,"B",IF(M13&gt;=60,"C","D"))))</f>
        <v/>
      </c>
      <c r="O13" s="4" t="n">
        <v>11</v>
      </c>
      <c r="P13" s="4" t="inlineStr">
        <is>
          <t>No</t>
        </is>
      </c>
      <c r="Q13" s="4" t="inlineStr">
        <is>
          <t>High School</t>
        </is>
      </c>
      <c r="R13" s="4" t="inlineStr">
        <is>
          <t>No</t>
        </is>
      </c>
      <c r="S13" s="4" t="inlineStr">
        <is>
          <t>No</t>
        </is>
      </c>
      <c r="T13" s="4">
        <f>IF(M13&gt;=50,"Pass","Fail")</f>
        <v/>
      </c>
    </row>
    <row r="14">
      <c r="A14" s="2" t="inlineStr">
        <is>
          <t>S013</t>
        </is>
      </c>
      <c r="B14" s="2" t="inlineStr">
        <is>
          <t>Nikhil Desai</t>
        </is>
      </c>
      <c r="C14" s="2" t="inlineStr">
        <is>
          <t>Male</t>
        </is>
      </c>
      <c r="D14" s="2" t="n">
        <v>17</v>
      </c>
      <c r="E14" s="2" t="inlineStr">
        <is>
          <t>11th</t>
        </is>
      </c>
      <c r="F14" s="2" t="inlineStr">
        <is>
          <t>Commerce</t>
        </is>
      </c>
      <c r="G14" s="2" t="inlineStr">
        <is>
          <t>Surat</t>
        </is>
      </c>
      <c r="H14" s="2" t="n">
        <v>65</v>
      </c>
      <c r="I14" s="2" t="n">
        <v>62</v>
      </c>
      <c r="J14" s="2" t="n">
        <v>70</v>
      </c>
      <c r="K14" s="2" t="n">
        <v>58</v>
      </c>
      <c r="L14" s="2" t="n">
        <v>66</v>
      </c>
      <c r="M14" s="3">
        <f>AVERAGE(I14:L14)</f>
        <v/>
      </c>
      <c r="N14" s="2">
        <f>IF(M14&gt;=90,"A+",IF(M14&gt;=80,"A",IF(M14&gt;=70,"B",IF(M14&gt;=60,"C","D"))))</f>
        <v/>
      </c>
      <c r="O14" s="2" t="n">
        <v>9</v>
      </c>
      <c r="P14" s="2" t="inlineStr">
        <is>
          <t>No</t>
        </is>
      </c>
      <c r="Q14" s="2" t="inlineStr">
        <is>
          <t>High School</t>
        </is>
      </c>
      <c r="R14" s="2" t="inlineStr">
        <is>
          <t>No</t>
        </is>
      </c>
      <c r="S14" s="2" t="inlineStr">
        <is>
          <t>No</t>
        </is>
      </c>
      <c r="T14" s="2">
        <f>IF(M14&gt;=50,"Pass","Fail")</f>
        <v/>
      </c>
    </row>
    <row r="15">
      <c r="A15" s="4" t="inlineStr">
        <is>
          <t>S014</t>
        </is>
      </c>
      <c r="B15" s="4" t="inlineStr">
        <is>
          <t>Pooja Verma</t>
        </is>
      </c>
      <c r="C15" s="4" t="inlineStr">
        <is>
          <t>Female</t>
        </is>
      </c>
      <c r="D15" s="4" t="n">
        <v>18</v>
      </c>
      <c r="E15" s="4" t="inlineStr">
        <is>
          <t>12th</t>
        </is>
      </c>
      <c r="F15" s="4" t="inlineStr">
        <is>
          <t>Science</t>
        </is>
      </c>
      <c r="G15" s="4" t="inlineStr">
        <is>
          <t>Lucknow</t>
        </is>
      </c>
      <c r="H15" s="4" t="n">
        <v>90</v>
      </c>
      <c r="I15" s="4" t="n">
        <v>88</v>
      </c>
      <c r="J15" s="4" t="n">
        <v>84</v>
      </c>
      <c r="K15" s="4" t="n">
        <v>90</v>
      </c>
      <c r="L15" s="4" t="n">
        <v>86</v>
      </c>
      <c r="M15" s="5">
        <f>AVERAGE(I15:L15)</f>
        <v/>
      </c>
      <c r="N15" s="4">
        <f>IF(M15&gt;=90,"A+",IF(M15&gt;=80,"A",IF(M15&gt;=70,"B",IF(M15&gt;=60,"C","D"))))</f>
        <v/>
      </c>
      <c r="O15" s="4" t="n">
        <v>19</v>
      </c>
      <c r="P15" s="4" t="inlineStr">
        <is>
          <t>Yes</t>
        </is>
      </c>
      <c r="Q15" s="4" t="inlineStr">
        <is>
          <t>Post-Graduate</t>
        </is>
      </c>
      <c r="R15" s="4" t="inlineStr">
        <is>
          <t>Yes</t>
        </is>
      </c>
      <c r="S15" s="4" t="inlineStr">
        <is>
          <t>Yes</t>
        </is>
      </c>
      <c r="T15" s="4">
        <f>IF(M15&gt;=50,"Pass","Fail")</f>
        <v/>
      </c>
    </row>
    <row r="16">
      <c r="A16" s="2" t="inlineStr">
        <is>
          <t>S015</t>
        </is>
      </c>
      <c r="B16" s="2" t="inlineStr">
        <is>
          <t>Rahul Gupta</t>
        </is>
      </c>
      <c r="C16" s="2" t="inlineStr">
        <is>
          <t>Male</t>
        </is>
      </c>
      <c r="D16" s="2" t="n">
        <v>16</v>
      </c>
      <c r="E16" s="2" t="inlineStr">
        <is>
          <t>10th</t>
        </is>
      </c>
      <c r="F16" s="2" t="inlineStr">
        <is>
          <t>Arts</t>
        </is>
      </c>
      <c r="G16" s="2" t="inlineStr">
        <is>
          <t>Kanpur</t>
        </is>
      </c>
      <c r="H16" s="2" t="n">
        <v>55</v>
      </c>
      <c r="I16" s="2" t="n">
        <v>48</v>
      </c>
      <c r="J16" s="2" t="n">
        <v>52</v>
      </c>
      <c r="K16" s="2" t="n">
        <v>65</v>
      </c>
      <c r="L16" s="2" t="n">
        <v>58</v>
      </c>
      <c r="M16" s="3">
        <f>AVERAGE(I16:L16)</f>
        <v/>
      </c>
      <c r="N16" s="2">
        <f>IF(M16&gt;=90,"A+",IF(M16&gt;=80,"A",IF(M16&gt;=70,"B",IF(M16&gt;=60,"C","D"))))</f>
        <v/>
      </c>
      <c r="O16" s="2" t="n">
        <v>7</v>
      </c>
      <c r="P16" s="2" t="inlineStr">
        <is>
          <t>No</t>
        </is>
      </c>
      <c r="Q16" s="2" t="inlineStr">
        <is>
          <t>High School</t>
        </is>
      </c>
      <c r="R16" s="2" t="inlineStr">
        <is>
          <t>No</t>
        </is>
      </c>
      <c r="S16" s="2" t="inlineStr">
        <is>
          <t>No</t>
        </is>
      </c>
      <c r="T16" s="2">
        <f>IF(M16&gt;=50,"Pass","Fail")</f>
        <v/>
      </c>
    </row>
    <row r="17">
      <c r="A17" s="4" t="inlineStr">
        <is>
          <t>S016</t>
        </is>
      </c>
      <c r="B17" s="4" t="inlineStr">
        <is>
          <t>Ishaan Malhotra</t>
        </is>
      </c>
      <c r="C17" s="4" t="inlineStr">
        <is>
          <t>Male</t>
        </is>
      </c>
      <c r="D17" s="4" t="n">
        <v>17</v>
      </c>
      <c r="E17" s="4" t="inlineStr">
        <is>
          <t>11th</t>
        </is>
      </c>
      <c r="F17" s="4" t="inlineStr">
        <is>
          <t>Science</t>
        </is>
      </c>
      <c r="G17" s="4" t="inlineStr">
        <is>
          <t>Delhi</t>
        </is>
      </c>
      <c r="H17" s="4" t="n">
        <v>85</v>
      </c>
      <c r="I17" s="4" t="n">
        <v>92</v>
      </c>
      <c r="J17" s="4" t="n">
        <v>89</v>
      </c>
      <c r="K17" s="4" t="n">
        <v>84</v>
      </c>
      <c r="L17" s="4" t="n">
        <v>80</v>
      </c>
      <c r="M17" s="5">
        <f>AVERAGE(I17:L17)</f>
        <v/>
      </c>
      <c r="N17" s="4">
        <f>IF(M17&gt;=90,"A+",IF(M17&gt;=80,"A",IF(M17&gt;=70,"B",IF(M17&gt;=60,"C","D"))))</f>
        <v/>
      </c>
      <c r="O17" s="4" t="n">
        <v>21</v>
      </c>
      <c r="P17" s="4" t="inlineStr">
        <is>
          <t>Yes</t>
        </is>
      </c>
      <c r="Q17" s="4" t="inlineStr">
        <is>
          <t>Post-Graduate</t>
        </is>
      </c>
      <c r="R17" s="4" t="inlineStr">
        <is>
          <t>Yes</t>
        </is>
      </c>
      <c r="S17" s="4" t="inlineStr">
        <is>
          <t>Yes</t>
        </is>
      </c>
      <c r="T17" s="4">
        <f>IF(M17&gt;=50,"Pass","Fail")</f>
        <v/>
      </c>
    </row>
    <row r="18">
      <c r="A18" s="2" t="inlineStr">
        <is>
          <t>S017</t>
        </is>
      </c>
      <c r="B18" s="2" t="inlineStr">
        <is>
          <t>Tanvi Bhatt</t>
        </is>
      </c>
      <c r="C18" s="2" t="inlineStr">
        <is>
          <t>Female</t>
        </is>
      </c>
      <c r="D18" s="2" t="n">
        <v>15</v>
      </c>
      <c r="E18" s="2" t="inlineStr">
        <is>
          <t>9th</t>
        </is>
      </c>
      <c r="F18" s="2" t="inlineStr">
        <is>
          <t>Commerce</t>
        </is>
      </c>
      <c r="G18" s="2" t="inlineStr">
        <is>
          <t>Vadodara</t>
        </is>
      </c>
      <c r="H18" s="2" t="n">
        <v>72</v>
      </c>
      <c r="I18" s="2" t="n">
        <v>60</v>
      </c>
      <c r="J18" s="2" t="n">
        <v>68</v>
      </c>
      <c r="K18" s="2" t="n">
        <v>62</v>
      </c>
      <c r="L18" s="2" t="n">
        <v>70</v>
      </c>
      <c r="M18" s="3">
        <f>AVERAGE(I18:L18)</f>
        <v/>
      </c>
      <c r="N18" s="2">
        <f>IF(M18&gt;=90,"A+",IF(M18&gt;=80,"A",IF(M18&gt;=70,"B",IF(M18&gt;=60,"C","D"))))</f>
        <v/>
      </c>
      <c r="O18" s="2" t="n">
        <v>10</v>
      </c>
      <c r="P18" s="2" t="inlineStr">
        <is>
          <t>Yes</t>
        </is>
      </c>
      <c r="Q18" s="2" t="inlineStr">
        <is>
          <t>Graduate</t>
        </is>
      </c>
      <c r="R18" s="2" t="inlineStr">
        <is>
          <t>No</t>
        </is>
      </c>
      <c r="S18" s="2" t="inlineStr">
        <is>
          <t>No</t>
        </is>
      </c>
      <c r="T18" s="2">
        <f>IF(M18&gt;=50,"Pass","Fail")</f>
        <v/>
      </c>
    </row>
    <row r="19">
      <c r="A19" s="4" t="inlineStr">
        <is>
          <t>S018</t>
        </is>
      </c>
      <c r="B19" s="4" t="inlineStr">
        <is>
          <t>Aditya Pandey</t>
        </is>
      </c>
      <c r="C19" s="4" t="inlineStr">
        <is>
          <t>Male</t>
        </is>
      </c>
      <c r="D19" s="4" t="n">
        <v>18</v>
      </c>
      <c r="E19" s="4" t="inlineStr">
        <is>
          <t>12th</t>
        </is>
      </c>
      <c r="F19" s="4" t="inlineStr">
        <is>
          <t>Science</t>
        </is>
      </c>
      <c r="G19" s="4" t="inlineStr">
        <is>
          <t>Varanasi</t>
        </is>
      </c>
      <c r="H19" s="4" t="n">
        <v>68</v>
      </c>
      <c r="I19" s="4" t="n">
        <v>74</v>
      </c>
      <c r="J19" s="4" t="n">
        <v>70</v>
      </c>
      <c r="K19" s="4" t="n">
        <v>65</v>
      </c>
      <c r="L19" s="4" t="n">
        <v>72</v>
      </c>
      <c r="M19" s="5">
        <f>AVERAGE(I19:L19)</f>
        <v/>
      </c>
      <c r="N19" s="4">
        <f>IF(M19&gt;=90,"A+",IF(M19&gt;=80,"A",IF(M19&gt;=70,"B",IF(M19&gt;=60,"C","D"))))</f>
        <v/>
      </c>
      <c r="O19" s="4" t="n">
        <v>14</v>
      </c>
      <c r="P19" s="4" t="inlineStr">
        <is>
          <t>No</t>
        </is>
      </c>
      <c r="Q19" s="4" t="inlineStr">
        <is>
          <t>Graduate</t>
        </is>
      </c>
      <c r="R19" s="4" t="inlineStr">
        <is>
          <t>No</t>
        </is>
      </c>
      <c r="S19" s="4" t="inlineStr">
        <is>
          <t>Yes</t>
        </is>
      </c>
      <c r="T19" s="4">
        <f>IF(M19&gt;=50,"Pass","Fail")</f>
        <v/>
      </c>
    </row>
    <row r="20">
      <c r="A20" s="2" t="inlineStr">
        <is>
          <t>S019</t>
        </is>
      </c>
      <c r="B20" s="2" t="inlineStr">
        <is>
          <t>Ritu Saxena</t>
        </is>
      </c>
      <c r="C20" s="2" t="inlineStr">
        <is>
          <t>Female</t>
        </is>
      </c>
      <c r="D20" s="2" t="n">
        <v>16</v>
      </c>
      <c r="E20" s="2" t="inlineStr">
        <is>
          <t>10th</t>
        </is>
      </c>
      <c r="F20" s="2" t="inlineStr">
        <is>
          <t>Arts</t>
        </is>
      </c>
      <c r="G20" s="2" t="inlineStr">
        <is>
          <t>Agra</t>
        </is>
      </c>
      <c r="H20" s="2" t="inlineStr">
        <is>
          <t>84</t>
        </is>
      </c>
      <c r="I20" s="2" t="inlineStr">
        <is>
          <t>58</t>
        </is>
      </c>
      <c r="J20" s="2" t="inlineStr">
        <is>
          <t>62</t>
        </is>
      </c>
      <c r="K20" s="2" t="inlineStr">
        <is>
          <t>82</t>
        </is>
      </c>
      <c r="L20" s="2" t="inlineStr">
        <is>
          <t>80</t>
        </is>
      </c>
      <c r="M20" s="3">
        <f>AVERAGE(I20:L20)</f>
        <v/>
      </c>
      <c r="N20" s="2">
        <f>IF(M20&gt;=90,"A+",IF(M20&gt;=80,"A",IF(M20&gt;=70,"B",IF(M20&gt;=60,"C","D"))))</f>
        <v/>
      </c>
      <c r="O20" s="2" t="n">
        <v>12</v>
      </c>
      <c r="P20" s="2" t="inlineStr">
        <is>
          <t>Yes</t>
        </is>
      </c>
      <c r="Q20" s="2" t="inlineStr">
        <is>
          <t>High School</t>
        </is>
      </c>
      <c r="R20" s="2" t="inlineStr">
        <is>
          <t>No</t>
        </is>
      </c>
      <c r="S20" s="2" t="inlineStr">
        <is>
          <t>Yes</t>
        </is>
      </c>
      <c r="T20" s="2">
        <f>IF(M20&gt;=50,"Pass","Fail")</f>
        <v/>
      </c>
    </row>
    <row r="21">
      <c r="A21" s="4" t="inlineStr">
        <is>
          <t>S020</t>
        </is>
      </c>
      <c r="B21" s="4" t="inlineStr">
        <is>
          <t>Manish Tiwari</t>
        </is>
      </c>
      <c r="C21" s="4" t="inlineStr">
        <is>
          <t>Male</t>
        </is>
      </c>
      <c r="D21" s="4" t="n">
        <v>17</v>
      </c>
      <c r="E21" s="4" t="inlineStr">
        <is>
          <t>11th</t>
        </is>
      </c>
      <c r="F21" s="4" t="inlineStr">
        <is>
          <t>Commerce</t>
        </is>
      </c>
      <c r="G21" s="4" t="inlineStr">
        <is>
          <t>Bhopal</t>
        </is>
      </c>
      <c r="H21" s="4" t="n">
        <v>77</v>
      </c>
      <c r="I21" s="4" t="n">
        <v>65</v>
      </c>
      <c r="J21" s="4" t="n">
        <v>72</v>
      </c>
      <c r="K21" s="4" t="n">
        <v>60</v>
      </c>
      <c r="L21" s="4" t="n">
        <v>75</v>
      </c>
      <c r="M21" s="5">
        <f>AVERAGE(I21:L21)</f>
        <v/>
      </c>
      <c r="N21" s="4">
        <f>IF(M21&gt;=90,"A+",IF(M21&gt;=80,"A",IF(M21&gt;=70,"B",IF(M21&gt;=60,"C","D"))))</f>
        <v/>
      </c>
      <c r="O21" s="4" t="n">
        <v>13</v>
      </c>
      <c r="P21" s="4" t="inlineStr">
        <is>
          <t>No</t>
        </is>
      </c>
      <c r="Q21" s="4" t="inlineStr">
        <is>
          <t>Graduate</t>
        </is>
      </c>
      <c r="R21" s="4" t="inlineStr">
        <is>
          <t>No</t>
        </is>
      </c>
      <c r="S21" s="4" t="inlineStr">
        <is>
          <t>No</t>
        </is>
      </c>
      <c r="T21" s="4">
        <f>IF(M21&gt;=50,"Pass","Fail")</f>
        <v/>
      </c>
    </row>
    <row r="22">
      <c r="A22" s="2" t="inlineStr">
        <is>
          <t>S021</t>
        </is>
      </c>
      <c r="B22" s="2" t="inlineStr">
        <is>
          <t>Kavya Menon</t>
        </is>
      </c>
      <c r="C22" s="2" t="inlineStr">
        <is>
          <t>Female</t>
        </is>
      </c>
      <c r="D22" s="2" t="n">
        <v>18</v>
      </c>
      <c r="E22" s="2" t="inlineStr">
        <is>
          <t>12th</t>
        </is>
      </c>
      <c r="F22" s="2" t="inlineStr">
        <is>
          <t>Science</t>
        </is>
      </c>
      <c r="G22" s="2" t="inlineStr">
        <is>
          <t>Coimbatore</t>
        </is>
      </c>
      <c r="H22" s="2" t="n">
        <v>96</v>
      </c>
      <c r="I22" s="2" t="n">
        <v>94</v>
      </c>
      <c r="J22" s="2" t="n">
        <v>91</v>
      </c>
      <c r="K22" s="2" t="n">
        <v>89</v>
      </c>
      <c r="L22" s="2" t="n">
        <v>95</v>
      </c>
      <c r="M22" s="3">
        <f>AVERAGE(I22:L22)</f>
        <v/>
      </c>
      <c r="N22" s="2">
        <f>IF(M22&gt;=90,"A+",IF(M22&gt;=80,"A",IF(M22&gt;=70,"B",IF(M22&gt;=60,"C","D"))))</f>
        <v/>
      </c>
      <c r="O22" s="2" t="n">
        <v>23</v>
      </c>
      <c r="P22" s="2" t="inlineStr">
        <is>
          <t>Yes</t>
        </is>
      </c>
      <c r="Q22" s="2" t="inlineStr">
        <is>
          <t>Post-Graduate</t>
        </is>
      </c>
      <c r="R22" s="2" t="inlineStr">
        <is>
          <t>Yes</t>
        </is>
      </c>
      <c r="S22" s="2" t="inlineStr">
        <is>
          <t>Yes</t>
        </is>
      </c>
      <c r="T22" s="2">
        <f>IF(M22&gt;=50,"Pass","Fail")</f>
        <v/>
      </c>
    </row>
    <row r="23">
      <c r="A23" s="4" t="inlineStr">
        <is>
          <t>S022</t>
        </is>
      </c>
      <c r="B23" s="4" t="inlineStr">
        <is>
          <t>Harsh Agarwal</t>
        </is>
      </c>
      <c r="C23" s="4" t="inlineStr">
        <is>
          <t>Male</t>
        </is>
      </c>
      <c r="D23" s="4" t="n">
        <v>15</v>
      </c>
      <c r="E23" s="4" t="inlineStr">
        <is>
          <t>9th</t>
        </is>
      </c>
      <c r="F23" s="4" t="inlineStr">
        <is>
          <t>Arts</t>
        </is>
      </c>
      <c r="G23" s="4" t="inlineStr">
        <is>
          <t>Indore</t>
        </is>
      </c>
      <c r="H23" s="4" t="n">
        <v>58</v>
      </c>
      <c r="I23" s="4" t="n">
        <v>45</v>
      </c>
      <c r="J23" s="4" t="n">
        <v>50</v>
      </c>
      <c r="K23" s="4" t="n">
        <v>68</v>
      </c>
      <c r="L23" s="4" t="n">
        <v>55</v>
      </c>
      <c r="M23" s="5">
        <f>AVERAGE(I23:L23)</f>
        <v/>
      </c>
      <c r="N23" s="4">
        <f>IF(M23&gt;=90,"A+",IF(M23&gt;=80,"A",IF(M23&gt;=70,"B",IF(M23&gt;=60,"C","D"))))</f>
        <v/>
      </c>
      <c r="O23" s="4" t="n">
        <v>6</v>
      </c>
      <c r="P23" s="4" t="inlineStr">
        <is>
          <t>No</t>
        </is>
      </c>
      <c r="Q23" s="4" t="inlineStr">
        <is>
          <t>High School</t>
        </is>
      </c>
      <c r="R23" s="4" t="inlineStr">
        <is>
          <t>No</t>
        </is>
      </c>
      <c r="S23" s="4" t="inlineStr">
        <is>
          <t>No</t>
        </is>
      </c>
      <c r="T23" s="4">
        <f>IF(M23&gt;=50,"Pass","Fail")</f>
        <v/>
      </c>
    </row>
    <row r="24">
      <c r="A24" s="2" t="inlineStr">
        <is>
          <t>S023</t>
        </is>
      </c>
      <c r="B24" s="2" t="inlineStr">
        <is>
          <t>Swati Mishra</t>
        </is>
      </c>
      <c r="C24" s="2" t="inlineStr">
        <is>
          <t>Female</t>
        </is>
      </c>
      <c r="D24" s="2" t="n">
        <v>16</v>
      </c>
      <c r="E24" s="2" t="inlineStr">
        <is>
          <t>10th</t>
        </is>
      </c>
      <c r="F24" s="2" t="inlineStr">
        <is>
          <t>Science</t>
        </is>
      </c>
      <c r="G24" s="2" t="inlineStr">
        <is>
          <t>Nagpur</t>
        </is>
      </c>
      <c r="H24" s="2" t="n">
        <v>81</v>
      </c>
      <c r="I24" s="2" t="n">
        <v>79</v>
      </c>
      <c r="J24" s="2" t="n">
        <v>77</v>
      </c>
      <c r="K24" s="2" t="n">
        <v>75</v>
      </c>
      <c r="L24" s="2" t="n">
        <v>82</v>
      </c>
      <c r="M24" s="3">
        <f>AVERAGE(I24:L24)</f>
        <v/>
      </c>
      <c r="N24" s="2">
        <f>IF(M24&gt;=90,"A+",IF(M24&gt;=80,"A",IF(M24&gt;=70,"B",IF(M24&gt;=60,"C","D"))))</f>
        <v/>
      </c>
      <c r="O24" s="2" t="n">
        <v>16</v>
      </c>
      <c r="P24" s="2" t="inlineStr">
        <is>
          <t>Yes</t>
        </is>
      </c>
      <c r="Q24" s="2" t="inlineStr">
        <is>
          <t>Graduate</t>
        </is>
      </c>
      <c r="R24" s="2" t="inlineStr">
        <is>
          <t>Yes</t>
        </is>
      </c>
      <c r="S24" s="2" t="inlineStr">
        <is>
          <t>No</t>
        </is>
      </c>
      <c r="T24" s="2">
        <f>IF(M24&gt;=50,"Pass","Fail")</f>
        <v/>
      </c>
    </row>
    <row r="25">
      <c r="A25" s="4" t="inlineStr">
        <is>
          <t>S024</t>
        </is>
      </c>
      <c r="B25" s="4" t="inlineStr">
        <is>
          <t>Varun Kapoor</t>
        </is>
      </c>
      <c r="C25" s="4" t="inlineStr">
        <is>
          <t>Male</t>
        </is>
      </c>
      <c r="D25" s="4" t="n">
        <v>17</v>
      </c>
      <c r="E25" s="4" t="inlineStr">
        <is>
          <t>11th</t>
        </is>
      </c>
      <c r="F25" s="4" t="inlineStr">
        <is>
          <t>Commerce</t>
        </is>
      </c>
      <c r="G25" s="4" t="inlineStr">
        <is>
          <t>Chandigarh</t>
        </is>
      </c>
      <c r="H25" s="4" t="n">
        <v>74</v>
      </c>
      <c r="I25" s="4" t="n">
        <v>66</v>
      </c>
      <c r="J25" s="4" t="n">
        <v>71</v>
      </c>
      <c r="K25" s="4" t="n">
        <v>63</v>
      </c>
      <c r="L25" s="4" t="n">
        <v>76</v>
      </c>
      <c r="M25" s="5">
        <f>AVERAGE(I25:L25)</f>
        <v/>
      </c>
      <c r="N25" s="4">
        <f>IF(M25&gt;=90,"A+",IF(M25&gt;=80,"A",IF(M25&gt;=70,"B",IF(M25&gt;=60,"C","D"))))</f>
        <v/>
      </c>
      <c r="O25" s="4" t="n">
        <v>12</v>
      </c>
      <c r="P25" s="4" t="inlineStr">
        <is>
          <t>Yes</t>
        </is>
      </c>
      <c r="Q25" s="4" t="inlineStr">
        <is>
          <t>Graduate</t>
        </is>
      </c>
      <c r="R25" s="4" t="inlineStr">
        <is>
          <t>No</t>
        </is>
      </c>
      <c r="S25" s="4" t="inlineStr">
        <is>
          <t>Yes</t>
        </is>
      </c>
      <c r="T25" s="4">
        <f>IF(M25&gt;=50,"Pass","Fail")</f>
        <v/>
      </c>
    </row>
    <row r="26">
      <c r="A26" s="2" t="inlineStr">
        <is>
          <t>S025</t>
        </is>
      </c>
      <c r="B26" s="2" t="inlineStr">
        <is>
          <t>Deepa Nambiar</t>
        </is>
      </c>
      <c r="C26" s="2" t="inlineStr">
        <is>
          <t>Female</t>
        </is>
      </c>
      <c r="D26" s="2" t="n">
        <v>18</v>
      </c>
      <c r="E26" s="2" t="inlineStr">
        <is>
          <t>12th</t>
        </is>
      </c>
      <c r="F26" s="2" t="inlineStr">
        <is>
          <t>Arts</t>
        </is>
      </c>
      <c r="G26" s="2" t="inlineStr">
        <is>
          <t>Kochi</t>
        </is>
      </c>
      <c r="H26" s="2" t="n">
        <v>89</v>
      </c>
      <c r="I26" s="2" t="n">
        <v>62</v>
      </c>
      <c r="J26" s="2" t="n">
        <v>70</v>
      </c>
      <c r="K26" s="2" t="n">
        <v>92</v>
      </c>
      <c r="L26" s="2" t="n">
        <v>88</v>
      </c>
      <c r="M26" s="3">
        <f>AVERAGE(I26:L26)</f>
        <v/>
      </c>
      <c r="N26" s="2">
        <f>IF(M26&gt;=90,"A+",IF(M26&gt;=80,"A",IF(M26&gt;=70,"B",IF(M26&gt;=60,"C","D"))))</f>
        <v/>
      </c>
      <c r="O26" s="2" t="n">
        <v>15</v>
      </c>
      <c r="P26" s="2" t="inlineStr">
        <is>
          <t>Yes</t>
        </is>
      </c>
      <c r="Q26" s="2" t="inlineStr">
        <is>
          <t>Post-Graduate</t>
        </is>
      </c>
      <c r="R26" s="2" t="inlineStr">
        <is>
          <t>No</t>
        </is>
      </c>
      <c r="S26" s="2" t="inlineStr">
        <is>
          <t>Yes</t>
        </is>
      </c>
      <c r="T26" s="2">
        <f>IF(M26&gt;=50,"Pass","Fail")</f>
        <v/>
      </c>
    </row>
    <row r="27">
      <c r="A27" s="4" t="inlineStr">
        <is>
          <t>S026</t>
        </is>
      </c>
      <c r="B27" s="4" t="inlineStr">
        <is>
          <t>Akash Srivastava</t>
        </is>
      </c>
      <c r="C27" s="4" t="inlineStr">
        <is>
          <t>Male</t>
        </is>
      </c>
      <c r="D27" s="4" t="n">
        <v>16</v>
      </c>
      <c r="E27" s="4" t="inlineStr">
        <is>
          <t>10th</t>
        </is>
      </c>
      <c r="F27" s="4" t="inlineStr">
        <is>
          <t>Science</t>
        </is>
      </c>
      <c r="G27" s="4" t="inlineStr">
        <is>
          <t>Allahabad</t>
        </is>
      </c>
      <c r="H27" s="4" t="n">
        <v>66</v>
      </c>
      <c r="I27" s="4" t="n">
        <v>72</v>
      </c>
      <c r="J27" s="4" t="n">
        <v>68</v>
      </c>
      <c r="K27" s="4" t="n">
        <v>64</v>
      </c>
      <c r="L27" s="4" t="n">
        <v>70</v>
      </c>
      <c r="M27" s="5">
        <f>AVERAGE(I27:L27)</f>
        <v/>
      </c>
      <c r="N27" s="4">
        <f>IF(M27&gt;=90,"A+",IF(M27&gt;=80,"A",IF(M27&gt;=70,"B",IF(M27&gt;=60,"C","D"))))</f>
        <v/>
      </c>
      <c r="O27" s="4" t="n">
        <v>11</v>
      </c>
      <c r="P27" s="4" t="inlineStr">
        <is>
          <t>No</t>
        </is>
      </c>
      <c r="Q27" s="4" t="inlineStr">
        <is>
          <t>Graduate</t>
        </is>
      </c>
      <c r="R27" s="4" t="inlineStr">
        <is>
          <t>No</t>
        </is>
      </c>
      <c r="S27" s="4" t="inlineStr">
        <is>
          <t>No</t>
        </is>
      </c>
      <c r="T27" s="4">
        <f>IF(M27&gt;=50,"Pass","Fail")</f>
        <v/>
      </c>
    </row>
    <row r="28">
      <c r="A28" s="2" t="inlineStr">
        <is>
          <t>S027</t>
        </is>
      </c>
      <c r="B28" s="2" t="inlineStr">
        <is>
          <t>Shruti Kulkarni</t>
        </is>
      </c>
      <c r="C28" s="2" t="inlineStr">
        <is>
          <t>Female</t>
        </is>
      </c>
      <c r="D28" s="2" t="n">
        <v>15</v>
      </c>
      <c r="E28" s="2" t="inlineStr">
        <is>
          <t>9th</t>
        </is>
      </c>
      <c r="F28" s="2" t="inlineStr">
        <is>
          <t>Commerce</t>
        </is>
      </c>
      <c r="G28" s="2" t="inlineStr">
        <is>
          <t>Nashik</t>
        </is>
      </c>
      <c r="H28" s="2" t="n">
        <v>76</v>
      </c>
      <c r="I28" s="2" t="n">
        <v>58</v>
      </c>
      <c r="J28" s="2" t="n">
        <v>65</v>
      </c>
      <c r="K28" s="2" t="n">
        <v>60</v>
      </c>
      <c r="L28" s="2" t="n">
        <v>72</v>
      </c>
      <c r="M28" s="3">
        <f>AVERAGE(I28:L28)</f>
        <v/>
      </c>
      <c r="N28" s="2">
        <f>IF(M28&gt;=90,"A+",IF(M28&gt;=80,"A",IF(M28&gt;=70,"B",IF(M28&gt;=60,"C","D"))))</f>
        <v/>
      </c>
      <c r="O28" s="2" t="n">
        <v>9</v>
      </c>
      <c r="P28" s="2" t="inlineStr">
        <is>
          <t>Yes</t>
        </is>
      </c>
      <c r="Q28" s="2" t="inlineStr">
        <is>
          <t>High School</t>
        </is>
      </c>
      <c r="R28" s="2" t="inlineStr">
        <is>
          <t>No</t>
        </is>
      </c>
      <c r="S28" s="2" t="inlineStr">
        <is>
          <t>No</t>
        </is>
      </c>
      <c r="T28" s="2">
        <f>IF(M28&gt;=50,"Pass","Fail")</f>
        <v/>
      </c>
    </row>
    <row r="29">
      <c r="A29" s="4" t="inlineStr">
        <is>
          <t>S028</t>
        </is>
      </c>
      <c r="B29" s="4" t="inlineStr">
        <is>
          <t>Piyush Bansal</t>
        </is>
      </c>
      <c r="C29" s="4" t="inlineStr">
        <is>
          <t>Male</t>
        </is>
      </c>
      <c r="D29" s="4" t="n">
        <v>17</v>
      </c>
      <c r="E29" s="4" t="inlineStr">
        <is>
          <t>11th</t>
        </is>
      </c>
      <c r="F29" s="4" t="inlineStr">
        <is>
          <t>Science</t>
        </is>
      </c>
      <c r="G29" s="4" t="inlineStr">
        <is>
          <t>Faridabad</t>
        </is>
      </c>
      <c r="H29" s="4" t="n">
        <v>83</v>
      </c>
      <c r="I29" s="4" t="n">
        <v>86</v>
      </c>
      <c r="J29" s="4" t="n">
        <v>84</v>
      </c>
      <c r="K29" s="4" t="n">
        <v>80</v>
      </c>
      <c r="L29" s="4" t="n">
        <v>82</v>
      </c>
      <c r="M29" s="5">
        <f>AVERAGE(I29:L29)</f>
        <v/>
      </c>
      <c r="N29" s="4">
        <f>IF(M29&gt;=90,"A+",IF(M29&gt;=80,"A",IF(M29&gt;=70,"B",IF(M29&gt;=60,"C","D"))))</f>
        <v/>
      </c>
      <c r="O29" s="4" t="n">
        <v>18</v>
      </c>
      <c r="P29" s="4" t="inlineStr">
        <is>
          <t>Yes</t>
        </is>
      </c>
      <c r="Q29" s="4" t="inlineStr">
        <is>
          <t>Graduate</t>
        </is>
      </c>
      <c r="R29" s="4" t="inlineStr">
        <is>
          <t>Yes</t>
        </is>
      </c>
      <c r="S29" s="4" t="inlineStr">
        <is>
          <t>Yes</t>
        </is>
      </c>
      <c r="T29" s="4">
        <f>IF(M29&gt;=50,"Pass","Fail")</f>
        <v/>
      </c>
    </row>
    <row r="30">
      <c r="A30" s="2" t="inlineStr">
        <is>
          <t>S029</t>
        </is>
      </c>
      <c r="B30" s="2" t="inlineStr">
        <is>
          <t>Neha Chaudhary</t>
        </is>
      </c>
      <c r="C30" s="2" t="inlineStr">
        <is>
          <t>Female</t>
        </is>
      </c>
      <c r="D30" s="2" t="n">
        <v>18</v>
      </c>
      <c r="E30" s="2" t="inlineStr">
        <is>
          <t>12th</t>
        </is>
      </c>
      <c r="F30" s="2" t="inlineStr">
        <is>
          <t>Arts</t>
        </is>
      </c>
      <c r="G30" s="2" t="inlineStr">
        <is>
          <t>Meerut</t>
        </is>
      </c>
      <c r="H30" s="2" t="n">
        <v>91</v>
      </c>
      <c r="I30" s="2" t="n">
        <v>55</v>
      </c>
      <c r="J30" s="2" t="n">
        <v>68</v>
      </c>
      <c r="K30" s="2" t="n">
        <v>94</v>
      </c>
      <c r="L30" s="2" t="n">
        <v>90</v>
      </c>
      <c r="M30" s="3">
        <f>AVERAGE(I30:L30)</f>
        <v/>
      </c>
      <c r="N30" s="2">
        <f>IF(M30&gt;=90,"A+",IF(M30&gt;=80,"A",IF(M30&gt;=70,"B",IF(M30&gt;=60,"C","D"))))</f>
        <v/>
      </c>
      <c r="O30" s="2" t="n">
        <v>14</v>
      </c>
      <c r="P30" s="2" t="inlineStr">
        <is>
          <t>No</t>
        </is>
      </c>
      <c r="Q30" s="2" t="inlineStr">
        <is>
          <t>Post-Graduate</t>
        </is>
      </c>
      <c r="R30" s="2" t="inlineStr">
        <is>
          <t>Yes</t>
        </is>
      </c>
      <c r="S30" s="2" t="inlineStr">
        <is>
          <t>Yes</t>
        </is>
      </c>
      <c r="T30" s="2">
        <f>IF(M30&gt;=50,"Pass","Fail")</f>
        <v/>
      </c>
    </row>
    <row r="31">
      <c r="A31" s="4" t="inlineStr">
        <is>
          <t>S030</t>
        </is>
      </c>
      <c r="B31" s="4" t="inlineStr">
        <is>
          <t>Sameer Khan</t>
        </is>
      </c>
      <c r="C31" s="4" t="inlineStr">
        <is>
          <t>Male</t>
        </is>
      </c>
      <c r="D31" s="4" t="n">
        <v>16</v>
      </c>
      <c r="E31" s="4" t="inlineStr">
        <is>
          <t>10th</t>
        </is>
      </c>
      <c r="F31" s="4" t="inlineStr">
        <is>
          <t>Commerce</t>
        </is>
      </c>
      <c r="G31" s="4" t="inlineStr">
        <is>
          <t>Lucknow</t>
        </is>
      </c>
      <c r="H31" s="4" t="n">
        <v>70</v>
      </c>
      <c r="I31" s="4" t="n">
        <v>60</v>
      </c>
      <c r="J31" s="4" t="n">
        <v>68</v>
      </c>
      <c r="K31" s="4" t="n">
        <v>58</v>
      </c>
      <c r="L31" s="4" t="n">
        <v>72</v>
      </c>
      <c r="M31" s="5">
        <f>AVERAGE(I31:L31)</f>
        <v/>
      </c>
      <c r="N31" s="4">
        <f>IF(M31&gt;=90,"A+",IF(M31&gt;=80,"A",IF(M31&gt;=70,"B",IF(M31&gt;=60,"C","D"))))</f>
        <v/>
      </c>
      <c r="O31" s="4" t="n">
        <v>10</v>
      </c>
      <c r="P31" s="4" t="inlineStr">
        <is>
          <t>No</t>
        </is>
      </c>
      <c r="Q31" s="4" t="inlineStr">
        <is>
          <t>High School</t>
        </is>
      </c>
      <c r="R31" s="4" t="inlineStr">
        <is>
          <t>No</t>
        </is>
      </c>
      <c r="S31" s="4" t="inlineStr">
        <is>
          <t>No</t>
        </is>
      </c>
      <c r="T31" s="4">
        <f>IF(M31&gt;=50,"Pass","Fail")</f>
        <v/>
      </c>
    </row>
    <row r="32">
      <c r="A32" s="2" t="inlineStr">
        <is>
          <t>S031</t>
        </is>
      </c>
      <c r="B32" s="2" t="inlineStr">
        <is>
          <t>Anjali Subramaniam</t>
        </is>
      </c>
      <c r="C32" s="2" t="inlineStr">
        <is>
          <t>Female</t>
        </is>
      </c>
      <c r="D32" s="2" t="n">
        <v>17</v>
      </c>
      <c r="E32" s="2" t="inlineStr">
        <is>
          <t>11th</t>
        </is>
      </c>
      <c r="F32" s="2" t="inlineStr">
        <is>
          <t>Science</t>
        </is>
      </c>
      <c r="G32" s="2" t="inlineStr">
        <is>
          <t>Madurai</t>
        </is>
      </c>
      <c r="H32" s="2" t="n">
        <v>88</v>
      </c>
      <c r="I32" s="2" t="n">
        <v>90</v>
      </c>
      <c r="J32" s="2" t="n">
        <v>87</v>
      </c>
      <c r="K32" s="2" t="n">
        <v>85</v>
      </c>
      <c r="L32" s="2" t="n">
        <v>89</v>
      </c>
      <c r="M32" s="3">
        <f>AVERAGE(I32:L32)</f>
        <v/>
      </c>
      <c r="N32" s="2">
        <f>IF(M32&gt;=90,"A+",IF(M32&gt;=80,"A",IF(M32&gt;=70,"B",IF(M32&gt;=60,"C","D"))))</f>
        <v/>
      </c>
      <c r="O32" s="2" t="n">
        <v>20</v>
      </c>
      <c r="P32" s="2" t="inlineStr">
        <is>
          <t>Yes</t>
        </is>
      </c>
      <c r="Q32" s="2" t="inlineStr">
        <is>
          <t>Post-Graduate</t>
        </is>
      </c>
      <c r="R32" s="2" t="inlineStr">
        <is>
          <t>Yes</t>
        </is>
      </c>
      <c r="S32" s="2" t="inlineStr">
        <is>
          <t>Yes</t>
        </is>
      </c>
      <c r="T32" s="2">
        <f>IF(M32&gt;=50,"Pass","Fail")</f>
        <v/>
      </c>
    </row>
    <row r="33">
      <c r="A33" s="4" t="inlineStr">
        <is>
          <t>S032</t>
        </is>
      </c>
      <c r="B33" s="4" t="inlineStr">
        <is>
          <t>Rajesh Naidu</t>
        </is>
      </c>
      <c r="C33" s="4" t="inlineStr">
        <is>
          <t>Male</t>
        </is>
      </c>
      <c r="D33" s="4" t="n">
        <v>15</v>
      </c>
      <c r="E33" s="4" t="inlineStr">
        <is>
          <t>9th</t>
        </is>
      </c>
      <c r="F33" s="4" t="inlineStr">
        <is>
          <t>Arts</t>
        </is>
      </c>
      <c r="G33" s="4" t="inlineStr">
        <is>
          <t>Vizag</t>
        </is>
      </c>
      <c r="H33" s="4" t="n">
        <v>62</v>
      </c>
      <c r="I33" s="4" t="n">
        <v>50</v>
      </c>
      <c r="J33" s="4" t="n">
        <v>55</v>
      </c>
      <c r="K33" s="4" t="n">
        <v>72</v>
      </c>
      <c r="L33" s="4" t="n">
        <v>60</v>
      </c>
      <c r="M33" s="5">
        <f>AVERAGE(I33:L33)</f>
        <v/>
      </c>
      <c r="N33" s="4">
        <f>IF(M33&gt;=90,"A+",IF(M33&gt;=80,"A",IF(M33&gt;=70,"B",IF(M33&gt;=60,"C","D"))))</f>
        <v/>
      </c>
      <c r="O33" s="4" t="n">
        <v>8</v>
      </c>
      <c r="P33" s="4" t="inlineStr">
        <is>
          <t>No</t>
        </is>
      </c>
      <c r="Q33" s="4" t="inlineStr">
        <is>
          <t>High School</t>
        </is>
      </c>
      <c r="R33" s="4" t="inlineStr">
        <is>
          <t>No</t>
        </is>
      </c>
      <c r="S33" s="4" t="inlineStr">
        <is>
          <t>No</t>
        </is>
      </c>
      <c r="T33" s="4">
        <f>IF(M33&gt;=50,"Pass","Fail")</f>
        <v/>
      </c>
    </row>
    <row r="34">
      <c r="A34" s="2" t="inlineStr">
        <is>
          <t>S033</t>
        </is>
      </c>
      <c r="B34" s="2" t="inlineStr">
        <is>
          <t>Preeti Sharma</t>
        </is>
      </c>
      <c r="C34" s="2" t="inlineStr">
        <is>
          <t>Female</t>
        </is>
      </c>
      <c r="D34" s="2" t="n">
        <v>18</v>
      </c>
      <c r="E34" s="2" t="inlineStr">
        <is>
          <t>12th</t>
        </is>
      </c>
      <c r="F34" s="2" t="inlineStr">
        <is>
          <t>Commerce</t>
        </is>
      </c>
      <c r="G34" s="2" t="inlineStr">
        <is>
          <t>Gurgaon</t>
        </is>
      </c>
      <c r="H34" s="2" t="n">
        <v>94</v>
      </c>
      <c r="I34" s="2" t="n">
        <v>70</v>
      </c>
      <c r="J34" s="2" t="n">
        <v>82</v>
      </c>
      <c r="K34" s="2" t="n">
        <v>75</v>
      </c>
      <c r="L34" s="2" t="n">
        <v>92</v>
      </c>
      <c r="M34" s="3">
        <f>AVERAGE(I34:L34)</f>
        <v/>
      </c>
      <c r="N34" s="2">
        <f>IF(M34&gt;=90,"A+",IF(M34&gt;=80,"A",IF(M34&gt;=70,"B",IF(M34&gt;=60,"C","D"))))</f>
        <v/>
      </c>
      <c r="O34" s="2" t="n">
        <v>16</v>
      </c>
      <c r="P34" s="2" t="inlineStr">
        <is>
          <t>Yes</t>
        </is>
      </c>
      <c r="Q34" s="2" t="inlineStr">
        <is>
          <t>Graduate</t>
        </is>
      </c>
      <c r="R34" s="2" t="inlineStr">
        <is>
          <t>Yes</t>
        </is>
      </c>
      <c r="S34" s="2" t="inlineStr">
        <is>
          <t>Yes</t>
        </is>
      </c>
      <c r="T34" s="2">
        <f>IF(M34&gt;=50,"Pass","Fail")</f>
        <v/>
      </c>
    </row>
    <row r="35">
      <c r="A35" s="4" t="inlineStr">
        <is>
          <t>S034</t>
        </is>
      </c>
      <c r="B35" s="4" t="inlineStr">
        <is>
          <t>Yash Chauhan</t>
        </is>
      </c>
      <c r="C35" s="4" t="inlineStr">
        <is>
          <t>Male</t>
        </is>
      </c>
      <c r="D35" s="4" t="n">
        <v>16</v>
      </c>
      <c r="E35" s="4" t="inlineStr">
        <is>
          <t>10th</t>
        </is>
      </c>
      <c r="F35" s="4" t="inlineStr">
        <is>
          <t>Science</t>
        </is>
      </c>
      <c r="G35" s="4" t="inlineStr">
        <is>
          <t>Noida</t>
        </is>
      </c>
      <c r="H35" s="4" t="n">
        <v>79</v>
      </c>
      <c r="I35" s="4" t="n">
        <v>82</v>
      </c>
      <c r="J35" s="4" t="n">
        <v>78</v>
      </c>
      <c r="K35" s="4" t="n">
        <v>76</v>
      </c>
      <c r="L35" s="4" t="n">
        <v>80</v>
      </c>
      <c r="M35" s="5">
        <f>AVERAGE(I35:L35)</f>
        <v/>
      </c>
      <c r="N35" s="4">
        <f>IF(M35&gt;=90,"A+",IF(M35&gt;=80,"A",IF(M35&gt;=70,"B",IF(M35&gt;=60,"C","D"))))</f>
        <v/>
      </c>
      <c r="O35" s="4" t="n">
        <v>15</v>
      </c>
      <c r="P35" s="4" t="inlineStr">
        <is>
          <t>Yes</t>
        </is>
      </c>
      <c r="Q35" s="4" t="inlineStr">
        <is>
          <t>Graduate</t>
        </is>
      </c>
      <c r="R35" s="4" t="inlineStr">
        <is>
          <t>No</t>
        </is>
      </c>
      <c r="S35" s="4" t="inlineStr">
        <is>
          <t>Yes</t>
        </is>
      </c>
      <c r="T35" s="4">
        <f>IF(M35&gt;=50,"Pass","Fail")</f>
        <v/>
      </c>
    </row>
    <row r="36">
      <c r="A36" s="2" t="inlineStr">
        <is>
          <t>S035</t>
        </is>
      </c>
      <c r="B36" s="2" t="inlineStr">
        <is>
          <t>Bhavna Soni</t>
        </is>
      </c>
      <c r="C36" s="2" t="inlineStr">
        <is>
          <t>Female</t>
        </is>
      </c>
      <c r="D36" s="2" t="n">
        <v>17</v>
      </c>
      <c r="E36" s="2" t="inlineStr">
        <is>
          <t>11th</t>
        </is>
      </c>
      <c r="F36" s="2" t="inlineStr">
        <is>
          <t>Arts</t>
        </is>
      </c>
      <c r="G36" s="2" t="inlineStr">
        <is>
          <t>Rajkot</t>
        </is>
      </c>
      <c r="H36" s="2" t="n">
        <v>85</v>
      </c>
      <c r="I36" s="2" t="n">
        <v>56</v>
      </c>
      <c r="J36" s="2" t="n">
        <v>65</v>
      </c>
      <c r="K36" s="2" t="n">
        <v>90</v>
      </c>
      <c r="L36" s="2" t="n">
        <v>84</v>
      </c>
      <c r="M36" s="3">
        <f>AVERAGE(I36:L36)</f>
        <v/>
      </c>
      <c r="N36" s="2">
        <f>IF(M36&gt;=90,"A+",IF(M36&gt;=80,"A",IF(M36&gt;=70,"B",IF(M36&gt;=60,"C","D"))))</f>
        <v/>
      </c>
      <c r="O36" s="2" t="n">
        <v>13</v>
      </c>
      <c r="P36" s="2" t="inlineStr">
        <is>
          <t>Yes</t>
        </is>
      </c>
      <c r="Q36" s="2" t="inlineStr">
        <is>
          <t>High School</t>
        </is>
      </c>
      <c r="R36" s="2" t="inlineStr">
        <is>
          <t>No</t>
        </is>
      </c>
      <c r="S36" s="2" t="inlineStr">
        <is>
          <t>Yes</t>
        </is>
      </c>
      <c r="T36" s="2">
        <f>IF(M36&gt;=50,"Pass","Fail")</f>
        <v/>
      </c>
    </row>
    <row r="37">
      <c r="A37" s="4" t="inlineStr">
        <is>
          <t>S036</t>
        </is>
      </c>
      <c r="B37" s="4" t="inlineStr">
        <is>
          <t>Kartik Bajaj</t>
        </is>
      </c>
      <c r="C37" s="4" t="inlineStr">
        <is>
          <t>Male</t>
        </is>
      </c>
      <c r="D37" s="4" t="n">
        <v>18</v>
      </c>
      <c r="E37" s="4" t="inlineStr">
        <is>
          <t>12th</t>
        </is>
      </c>
      <c r="F37" s="4" t="inlineStr">
        <is>
          <t>Science</t>
        </is>
      </c>
      <c r="G37" s="4" t="inlineStr">
        <is>
          <t>Amritsar</t>
        </is>
      </c>
      <c r="H37" s="4" t="n">
        <v>73</v>
      </c>
      <c r="I37" s="4" t="n">
        <v>76</v>
      </c>
      <c r="J37" s="4" t="n">
        <v>74</v>
      </c>
      <c r="K37" s="4" t="n">
        <v>70</v>
      </c>
      <c r="L37" s="4" t="n">
        <v>75</v>
      </c>
      <c r="M37" s="5">
        <f>AVERAGE(I37:L37)</f>
        <v/>
      </c>
      <c r="N37" s="4">
        <f>IF(M37&gt;=90,"A+",IF(M37&gt;=80,"A",IF(M37&gt;=70,"B",IF(M37&gt;=60,"C","D"))))</f>
        <v/>
      </c>
      <c r="O37" s="4" t="n">
        <v>12</v>
      </c>
      <c r="P37" s="4" t="inlineStr">
        <is>
          <t>No</t>
        </is>
      </c>
      <c r="Q37" s="4" t="inlineStr">
        <is>
          <t>Graduate</t>
        </is>
      </c>
      <c r="R37" s="4" t="inlineStr">
        <is>
          <t>No</t>
        </is>
      </c>
      <c r="S37" s="4" t="inlineStr">
        <is>
          <t>No</t>
        </is>
      </c>
      <c r="T37" s="4">
        <f>IF(M37&gt;=50,"Pass","Fail")</f>
        <v/>
      </c>
    </row>
    <row r="38">
      <c r="A38" s="2" t="inlineStr">
        <is>
          <t>S037</t>
        </is>
      </c>
      <c r="B38" s="2" t="inlineStr">
        <is>
          <t>Riya Jain</t>
        </is>
      </c>
      <c r="C38" s="2" t="inlineStr">
        <is>
          <t>Female</t>
        </is>
      </c>
      <c r="D38" s="2" t="n">
        <v>15</v>
      </c>
      <c r="E38" s="2" t="inlineStr">
        <is>
          <t>9th</t>
        </is>
      </c>
      <c r="F38" s="2" t="inlineStr">
        <is>
          <t>Commerce</t>
        </is>
      </c>
      <c r="G38" s="2" t="inlineStr">
        <is>
          <t>Jodhpur</t>
        </is>
      </c>
      <c r="H38" s="2" t="n">
        <v>80</v>
      </c>
      <c r="I38" s="2" t="n">
        <v>62</v>
      </c>
      <c r="J38" s="2" t="n">
        <v>72</v>
      </c>
      <c r="K38" s="2" t="n">
        <v>65</v>
      </c>
      <c r="L38" s="2" t="n">
        <v>78</v>
      </c>
      <c r="M38" s="3">
        <f>AVERAGE(I38:L38)</f>
        <v/>
      </c>
      <c r="N38" s="2">
        <f>IF(M38&gt;=90,"A+",IF(M38&gt;=80,"A",IF(M38&gt;=70,"B",IF(M38&gt;=60,"C","D"))))</f>
        <v/>
      </c>
      <c r="O38" s="2" t="n">
        <v>11</v>
      </c>
      <c r="P38" s="2" t="inlineStr">
        <is>
          <t>Yes</t>
        </is>
      </c>
      <c r="Q38" s="2" t="inlineStr">
        <is>
          <t>Graduate</t>
        </is>
      </c>
      <c r="R38" s="2" t="inlineStr">
        <is>
          <t>No</t>
        </is>
      </c>
      <c r="S38" s="2" t="inlineStr">
        <is>
          <t>No</t>
        </is>
      </c>
      <c r="T38" s="2">
        <f>IF(M38&gt;=50,"Pass","Fail")</f>
        <v/>
      </c>
    </row>
    <row r="39">
      <c r="A39" s="4" t="inlineStr">
        <is>
          <t>S038</t>
        </is>
      </c>
      <c r="B39" s="4" t="inlineStr">
        <is>
          <t>Suresh Pillai</t>
        </is>
      </c>
      <c r="C39" s="4" t="inlineStr">
        <is>
          <t>Male</t>
        </is>
      </c>
      <c r="D39" s="4" t="n">
        <v>16</v>
      </c>
      <c r="E39" s="4" t="inlineStr">
        <is>
          <t>10th</t>
        </is>
      </c>
      <c r="F39" s="4" t="inlineStr">
        <is>
          <t>Arts</t>
        </is>
      </c>
      <c r="G39" s="4" t="inlineStr">
        <is>
          <t>Thrissur</t>
        </is>
      </c>
      <c r="H39" s="4" t="n">
        <v>67</v>
      </c>
      <c r="I39" s="4" t="n">
        <v>48</v>
      </c>
      <c r="J39" s="4" t="n">
        <v>54</v>
      </c>
      <c r="K39" s="4" t="n">
        <v>74</v>
      </c>
      <c r="L39" s="4" t="n">
        <v>65</v>
      </c>
      <c r="M39" s="5">
        <f>AVERAGE(I39:L39)</f>
        <v/>
      </c>
      <c r="N39" s="4">
        <f>IF(M39&gt;=90,"A+",IF(M39&gt;=80,"A",IF(M39&gt;=70,"B",IF(M39&gt;=60,"C","D"))))</f>
        <v/>
      </c>
      <c r="O39" s="4" t="n">
        <v>9</v>
      </c>
      <c r="P39" s="4" t="inlineStr">
        <is>
          <t>No</t>
        </is>
      </c>
      <c r="Q39" s="4" t="inlineStr">
        <is>
          <t>High School</t>
        </is>
      </c>
      <c r="R39" s="4" t="inlineStr">
        <is>
          <t>No</t>
        </is>
      </c>
      <c r="S39" s="4" t="inlineStr">
        <is>
          <t>No</t>
        </is>
      </c>
      <c r="T39" s="4">
        <f>IF(M39&gt;=50,"Pass","Fail")</f>
        <v/>
      </c>
    </row>
    <row r="40">
      <c r="A40" s="2" t="inlineStr">
        <is>
          <t>S039</t>
        </is>
      </c>
      <c r="B40" s="2" t="inlineStr">
        <is>
          <t>Nandini Ghosh</t>
        </is>
      </c>
      <c r="C40" s="2" t="inlineStr">
        <is>
          <t>Female</t>
        </is>
      </c>
      <c r="D40" s="2" t="n">
        <v>17</v>
      </c>
      <c r="E40" s="2" t="inlineStr">
        <is>
          <t>11th</t>
        </is>
      </c>
      <c r="F40" s="2" t="inlineStr">
        <is>
          <t>Science</t>
        </is>
      </c>
      <c r="G40" s="2" t="inlineStr">
        <is>
          <t>Kolkata</t>
        </is>
      </c>
      <c r="H40" s="2" t="n">
        <v>92</v>
      </c>
      <c r="I40" s="2" t="n">
        <v>88</v>
      </c>
      <c r="J40" s="2" t="n">
        <v>86</v>
      </c>
      <c r="K40" s="2" t="n">
        <v>84</v>
      </c>
      <c r="L40" s="2" t="n">
        <v>91</v>
      </c>
      <c r="M40" s="3">
        <f>AVERAGE(I40:L40)</f>
        <v/>
      </c>
      <c r="N40" s="2">
        <f>IF(M40&gt;=90,"A+",IF(M40&gt;=80,"A",IF(M40&gt;=70,"B",IF(M40&gt;=60,"C","D"))))</f>
        <v/>
      </c>
      <c r="O40" s="2" t="n">
        <v>21</v>
      </c>
      <c r="P40" s="2" t="inlineStr">
        <is>
          <t>Yes</t>
        </is>
      </c>
      <c r="Q40" s="2" t="inlineStr">
        <is>
          <t>Post-Graduate</t>
        </is>
      </c>
      <c r="R40" s="2" t="inlineStr">
        <is>
          <t>Yes</t>
        </is>
      </c>
      <c r="S40" s="2" t="inlineStr">
        <is>
          <t>Yes</t>
        </is>
      </c>
      <c r="T40" s="2">
        <f>IF(M40&gt;=50,"Pass","Fail")</f>
        <v/>
      </c>
    </row>
    <row r="41">
      <c r="A41" s="4" t="inlineStr">
        <is>
          <t>S040</t>
        </is>
      </c>
      <c r="B41" s="4" t="inlineStr">
        <is>
          <t>Abhishek Pandey</t>
        </is>
      </c>
      <c r="C41" s="4" t="inlineStr">
        <is>
          <t>Male</t>
        </is>
      </c>
      <c r="D41" s="4" t="n">
        <v>18</v>
      </c>
      <c r="E41" s="4" t="inlineStr">
        <is>
          <t>12th</t>
        </is>
      </c>
      <c r="F41" s="4" t="inlineStr">
        <is>
          <t>Commerce</t>
        </is>
      </c>
      <c r="G41" s="4" t="inlineStr">
        <is>
          <t>Patna</t>
        </is>
      </c>
      <c r="H41" s="4" t="n">
        <v>76</v>
      </c>
      <c r="I41" s="4" t="n">
        <v>64</v>
      </c>
      <c r="J41" s="4" t="n">
        <v>72</v>
      </c>
      <c r="K41" s="4" t="n">
        <v>60</v>
      </c>
      <c r="L41" s="4" t="n">
        <v>78</v>
      </c>
      <c r="M41" s="5">
        <f>AVERAGE(I41:L41)</f>
        <v/>
      </c>
      <c r="N41" s="4">
        <f>IF(M41&gt;=90,"A+",IF(M41&gt;=80,"A",IF(M41&gt;=70,"B",IF(M41&gt;=60,"C","D"))))</f>
        <v/>
      </c>
      <c r="O41" s="4" t="n">
        <v>13</v>
      </c>
      <c r="P41" s="4" t="inlineStr">
        <is>
          <t>No</t>
        </is>
      </c>
      <c r="Q41" s="4" t="inlineStr">
        <is>
          <t>Graduate</t>
        </is>
      </c>
      <c r="R41" s="4" t="inlineStr">
        <is>
          <t>No</t>
        </is>
      </c>
      <c r="S41" s="4" t="inlineStr">
        <is>
          <t>Yes</t>
        </is>
      </c>
      <c r="T41" s="4">
        <f>IF(M41&gt;=50,"Pass","Fail")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" t="inlineStr">
        <is>
          <t>Education Analysis - Summary</t>
        </is>
      </c>
      <c r="B1" s="7" t="n"/>
    </row>
    <row r="2">
      <c r="A2" s="8" t="inlineStr"/>
      <c r="B2" s="8" t="inlineStr"/>
    </row>
    <row r="3">
      <c r="A3" s="9" t="inlineStr">
        <is>
          <t>Metric</t>
        </is>
      </c>
      <c r="B3" s="9" t="inlineStr">
        <is>
          <t>Value</t>
        </is>
      </c>
    </row>
    <row r="4">
      <c r="A4" s="8" t="inlineStr">
        <is>
          <t>Total Students</t>
        </is>
      </c>
      <c r="B4" s="10">
        <f>COUNTA('Student Data'!A2:A41)</f>
        <v/>
      </c>
    </row>
    <row r="5">
      <c r="A5" s="8" t="inlineStr">
        <is>
          <t>Male Students</t>
        </is>
      </c>
      <c r="B5" s="10">
        <f>COUNTIF('Student Data'!C2:C41,"Male")</f>
        <v/>
      </c>
    </row>
    <row r="6">
      <c r="A6" s="8" t="inlineStr">
        <is>
          <t>Female Students</t>
        </is>
      </c>
      <c r="B6" s="10">
        <f>COUNTIF('Student Data'!C2:C41,"Female")</f>
        <v/>
      </c>
    </row>
    <row r="7">
      <c r="A7" s="8" t="inlineStr">
        <is>
          <t>Average Score (All)</t>
        </is>
      </c>
      <c r="B7" s="10">
        <f>AVERAGE('Student Data'!M2:M41)</f>
        <v/>
      </c>
    </row>
    <row r="8">
      <c r="A8" s="8" t="inlineStr">
        <is>
          <t>Highest Score</t>
        </is>
      </c>
      <c r="B8" s="10">
        <f>MAX('Student Data'!M2:M41)</f>
        <v/>
      </c>
    </row>
    <row r="9">
      <c r="A9" s="8" t="inlineStr">
        <is>
          <t>Lowest Score</t>
        </is>
      </c>
      <c r="B9" s="10">
        <f>MIN('Student Data'!M2:M41)</f>
        <v/>
      </c>
    </row>
    <row r="10">
      <c r="A10" s="8" t="inlineStr">
        <is>
          <t>Pass Count</t>
        </is>
      </c>
      <c r="B10" s="10">
        <f>COUNTIF('Student Data'!T2:T41,"Pass")</f>
        <v/>
      </c>
    </row>
    <row r="11">
      <c r="A11" s="8" t="inlineStr">
        <is>
          <t>Fail Count</t>
        </is>
      </c>
      <c r="B11" s="10">
        <f>COUNTIF('Student Data'!T2:T41,"Fail")</f>
        <v/>
      </c>
    </row>
    <row r="12">
      <c r="A12" s="8" t="inlineStr">
        <is>
          <t>Pass Rate %</t>
        </is>
      </c>
      <c r="B12" s="10">
        <f>COUNTIF('Student Data'!T2:T41,"Pass")/COUNTA('Student Data'!A2:A41)*100</f>
        <v/>
      </c>
    </row>
    <row r="13">
      <c r="A13" s="8" t="inlineStr">
        <is>
          <t>Students with Scholarship</t>
        </is>
      </c>
      <c r="B13" s="10">
        <f>COUNTIF('Student Data'!R2:R41,"Yes")</f>
        <v/>
      </c>
    </row>
    <row r="14">
      <c r="A14" s="8" t="inlineStr">
        <is>
          <t>Avg Attendance %</t>
        </is>
      </c>
      <c r="B14" s="10">
        <f>AVERAGE('Student Data'!H2:H41)</f>
        <v/>
      </c>
    </row>
    <row r="15">
      <c r="A15" s="8" t="inlineStr">
        <is>
          <t>Avg Study Hours/Week</t>
        </is>
      </c>
      <c r="B15" s="10">
        <f>AVERAGE('Student Data'!O2:O41)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2026-03-21T08:23:17Z</dcterms:created>
  <dcterms:modified xmlns:dcterms="http://purl.org/dc/terms/" xmlns:xsi="http://www.w3.org/2001/XMLSchema-instance" xsi:type="dcterms:W3CDTF">2026-03-21T08:23:17Z</dcterms:modified>
</cp:coreProperties>
</file>